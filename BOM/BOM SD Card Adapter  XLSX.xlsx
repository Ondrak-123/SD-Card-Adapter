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CDBAF061-1912-48A3-B92B-A00852EE84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_sd card adapter kicad_sd 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</calcChain>
</file>

<file path=xl/sharedStrings.xml><?xml version="1.0" encoding="utf-8"?>
<sst xmlns="http://schemas.openxmlformats.org/spreadsheetml/2006/main" count="160" uniqueCount="108">
  <si>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</si>
  <si>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</si>
  <si>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</si>
  <si>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</si>
  <si>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</si>
  <si>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</si>
  <si>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</si>
  <si>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</si>
  <si>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</si>
  <si>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</si>
  <si>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</si>
  <si>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4.7uF</t>
  </si>
  <si>
    <t>C1</t>
  </si>
  <si>
    <t>Capacitor_SMD:C_0603_1608Metric</t>
  </si>
  <si>
    <t>SAMSUNG(三星)</t>
  </si>
  <si>
    <t>LCSC</t>
  </si>
  <si>
    <t/>
  </si>
  <si>
    <t>2</t>
  </si>
  <si>
    <t>10uF</t>
  </si>
  <si>
    <t>C2</t>
  </si>
  <si>
    <t>3</t>
  </si>
  <si>
    <t>100nF</t>
  </si>
  <si>
    <t>C3,C4</t>
  </si>
  <si>
    <t>CL10B104KO8NNNC</t>
  </si>
  <si>
    <t>C66501</t>
  </si>
  <si>
    <t>4</t>
  </si>
  <si>
    <t>XKSD-013</t>
  </si>
  <si>
    <t>CARD1</t>
  </si>
  <si>
    <t>SIM-SMD_XKSD-013</t>
  </si>
  <si>
    <t>XKB Connection(中国星坤)</t>
  </si>
  <si>
    <t>C2764609</t>
  </si>
  <si>
    <t>5</t>
  </si>
  <si>
    <t>TF PUSH</t>
  </si>
  <si>
    <t>CARD2</t>
  </si>
  <si>
    <t>TF-SMD_TF-PUSH</t>
  </si>
  <si>
    <t>SHOU HAN(首韩)</t>
  </si>
  <si>
    <t>C393941</t>
  </si>
  <si>
    <t>6</t>
  </si>
  <si>
    <t>YLED0603B</t>
  </si>
  <si>
    <t>D1</t>
  </si>
  <si>
    <t>LED_SMD:LED_0603_1608Metric</t>
  </si>
  <si>
    <t>YONGYUTAI(永裕泰)</t>
  </si>
  <si>
    <t>C19171394</t>
  </si>
  <si>
    <t>7</t>
  </si>
  <si>
    <t>MPZ2012S601AT000</t>
  </si>
  <si>
    <t>L1</t>
  </si>
  <si>
    <t>Inductor_SMD:L_0805_2012Metric</t>
  </si>
  <si>
    <t>TDK</t>
  </si>
  <si>
    <t>C21519</t>
  </si>
  <si>
    <t>8</t>
  </si>
  <si>
    <t>AO3401A</t>
  </si>
  <si>
    <t>Q1,Q3</t>
  </si>
  <si>
    <t>Package_TO_SOT_SMD:SOT-23</t>
  </si>
  <si>
    <t>baocheng(宝乘)</t>
  </si>
  <si>
    <t>C48678024</t>
  </si>
  <si>
    <t>9</t>
  </si>
  <si>
    <t>2N7002</t>
  </si>
  <si>
    <t>Q2</t>
  </si>
  <si>
    <t>JSMSEMI(杰盛微)</t>
  </si>
  <si>
    <t>C916396</t>
  </si>
  <si>
    <t>10</t>
  </si>
  <si>
    <t>27Ω</t>
  </si>
  <si>
    <t>R1,R2</t>
  </si>
  <si>
    <t>Resistor_SMD:R_0603_1608Metric</t>
  </si>
  <si>
    <t>RC0603FR-0727RL</t>
  </si>
  <si>
    <t>YAGEO(国巨)</t>
  </si>
  <si>
    <t>C137753</t>
  </si>
  <si>
    <t>11</t>
  </si>
  <si>
    <t>10kΩ</t>
  </si>
  <si>
    <t>R3,R4,R5,R6,R7,R8,R9,R10</t>
  </si>
  <si>
    <t>FRC0603J103 TS</t>
  </si>
  <si>
    <t>FOJAN(富捷)</t>
  </si>
  <si>
    <t>C2930027</t>
  </si>
  <si>
    <t>12</t>
  </si>
  <si>
    <t>470Ω</t>
  </si>
  <si>
    <t>R11</t>
  </si>
  <si>
    <t>FRC0603J471 TS</t>
  </si>
  <si>
    <t>C2907172</t>
  </si>
  <si>
    <t>13</t>
  </si>
  <si>
    <t>GL823K-HCY04</t>
  </si>
  <si>
    <t>U2</t>
  </si>
  <si>
    <t>SSOP-16_L4.9-W3.9-P0.64-LS6.0-BL</t>
  </si>
  <si>
    <t>GENESYS(创惟)</t>
  </si>
  <si>
    <t>C284879</t>
  </si>
  <si>
    <t>14</t>
  </si>
  <si>
    <t>USB-212-BCW</t>
  </si>
  <si>
    <t>USB1</t>
  </si>
  <si>
    <t>USB-A-SMD_USB-212-BCW</t>
  </si>
  <si>
    <t>XUNPU(讯普)</t>
  </si>
  <si>
    <t>C720521</t>
  </si>
  <si>
    <t>PCB</t>
  </si>
  <si>
    <t>JLPCB</t>
  </si>
  <si>
    <t>Total price (USD) $</t>
  </si>
  <si>
    <t>LCSC Shipping</t>
  </si>
  <si>
    <t>LCSC Handling fee</t>
  </si>
  <si>
    <t>Total:</t>
  </si>
  <si>
    <t>Requesting amount:</t>
  </si>
  <si>
    <t>The whole LCSC cart can be downloaded on the Github. (So you can see and add all the items).</t>
  </si>
  <si>
    <t xml:space="preserve">Since 1. July 2026 there will be a new Category Flat Fee, affecting all EU residents, for each category  (HS Code) of items there will be a flat </t>
  </si>
  <si>
    <t>still need to pay the fees. THIS IS NOT A  LOCAL/POST OR A COUNTRY FEE!!!</t>
  </si>
  <si>
    <t>fee of 3€, the HS Codes for this package are:  HS853224, HS853321, HS853400, HS853669, HS850450, HS854121, HS854141, and HS854231.</t>
  </si>
  <si>
    <t>Which is 8*3€ or 24€ (28$). This fee will be added automatically when</t>
  </si>
  <si>
    <t xml:space="preserve">checking out (starting on 1.7.2026). But if I order a package on the 20.6. and the package will arrive to the borders in July I will </t>
  </si>
  <si>
    <t>’+28$ EU CFF</t>
  </si>
  <si>
    <t>C962136</t>
  </si>
  <si>
    <t>C69335</t>
  </si>
  <si>
    <t>25 $ USD</t>
  </si>
  <si>
    <t>55$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</si>
</sst>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18" applyNumberFormat="0" applyAlignment="0" applyProtection="0"/>
  </cellStyleXfs>
  <cellXfs count="27">
    <xf numFmtId="0" fontId="0" fillId="0" borderId="0" xfId="0"/>
    <xf numFmtId="0" fontId="1" fillId="3" borderId="5" xfId="2" applyBorder="1" applyAlignment="1">
      <alignment horizontal="center"/>
    </xf>
    <xf numFmtId="0" fontId="1" fillId="3" borderId="6" xfId="2" applyBorder="1" applyAlignment="1">
      <alignment horizontal="center"/>
    </xf>
    <xf numFmtId="0" fontId="1" fillId="3" borderId="5" xfId="2" applyBorder="1"/>
    <xf numFmtId="0" fontId="1" fillId="3" borderId="7" xfId="2" applyBorder="1" applyAlignment="1">
      <alignment horizontal="center"/>
    </xf>
    <xf numFmtId="0" fontId="1" fillId="3" borderId="8" xfId="2" applyBorder="1" applyAlignment="1">
      <alignment horizontal="center"/>
    </xf>
    <xf numFmtId="0" fontId="1" fillId="3" borderId="9" xfId="2" applyBorder="1" applyAlignment="1">
      <alignment horizontal="center"/>
    </xf>
    <xf numFmtId="0" fontId="1" fillId="3" borderId="12" xfId="2" applyBorder="1" applyAlignment="1">
      <alignment horizontal="center"/>
    </xf>
    <xf numFmtId="0" fontId="1" fillId="3" borderId="10" xfId="2" applyBorder="1" applyAlignment="1">
      <alignment horizontal="center"/>
    </xf>
    <xf numFmtId="0" fontId="1" fillId="3" borderId="13" xfId="2" applyBorder="1" applyAlignment="1">
      <alignment horizontal="center"/>
    </xf>
    <xf numFmtId="0" fontId="1" fillId="3" borderId="11" xfId="2" applyBorder="1" applyAlignment="1">
      <alignment horizontal="center"/>
    </xf>
    <xf numFmtId="0" fontId="3" fillId="2" borderId="2" xfId="1" applyBorder="1" applyAlignment="1">
      <alignment horizontal="center"/>
    </xf>
    <xf numFmtId="0" fontId="3" fillId="2" borderId="17" xfId="1" applyBorder="1" applyAlignment="1">
      <alignment horizontal="center"/>
    </xf>
    <xf numFmtId="0" fontId="3" fillId="2" borderId="3" xfId="1" applyBorder="1" applyAlignment="1">
      <alignment horizontal="center"/>
    </xf>
    <xf numFmtId="0" fontId="3" fillId="2" borderId="4" xfId="1" applyBorder="1" applyAlignment="1">
      <alignment horizontal="center"/>
    </xf>
    <xf numFmtId="0" fontId="2" fillId="2" borderId="14" xfId="1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2" fillId="2" borderId="14" xfId="1" applyFont="1" applyBorder="1"/>
    <xf numFmtId="0" fontId="2" fillId="2" borderId="15" xfId="1" applyFont="1" applyBorder="1"/>
    <xf numFmtId="0" fontId="2" fillId="2" borderId="16" xfId="1" applyFont="1" applyBorder="1"/>
    <xf numFmtId="0" fontId="0" fillId="5" borderId="0" xfId="0" applyFill="1"/>
    <xf numFmtId="0" fontId="4" fillId="5" borderId="0" xfId="3" applyFont="1" applyFill="1" applyBorder="1"/>
    <xf numFmtId="0" fontId="4" fillId="6" borderId="18" xfId="3" applyFont="1" applyFill="1"/>
    <xf numFmtId="0" fontId="4" fillId="6" borderId="19" xfId="3" applyFont="1" applyFill="1" applyBorder="1"/>
    <xf numFmtId="0" fontId="4" fillId="6" borderId="0" xfId="0" applyFont="1" applyFill="1"/>
    <xf numFmtId="0" fontId="2" fillId="2" borderId="17" xfId="1" applyFont="1" applyBorder="1" applyAlignment="1">
      <alignment horizontal="center"/>
    </xf>
    <xf numFmtId="0" fontId="5" fillId="2" borderId="1" xfId="1" applyFont="1" applyBorder="1" applyAlignment="1">
      <alignment horizontal="center"/>
    </xf>
  </cellXfs>
  <cellStyles count="4">
    <cellStyle name="40 % – Zvýraznění 1" xfId="2" builtinId="31"/>
    <cellStyle name="Kontrolní buňka" xfId="3" builtinId="23"/>
    <cellStyle name="Normální" xfId="0" builtinId="0"/>
    <cellStyle name="Zvýraznění 1" xfId="1" builtin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324479</xdr:colOff>
      <xdr:row>43</xdr:row>
      <xdr:rowOff>174799</xdr:rowOff>
    </xdr:from>
    <xdr:to>
      <xdr:col>8</xdr:col>
      <xdr:colOff>673247</xdr:colOff>
      <xdr:row>60</xdr:row>
      <xdr:rowOff>170232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CA7F36F7-074E-1F1B-3EFC-2943FED2A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0408" y="8162192"/>
          <a:ext cx="3097410" cy="3002611"/>
        </a:xfrm>
        <a:prstGeom prst="rect">
          <a:avLst/>
        </a:prstGeom>
      </xdr:spPr>
    </xdr:pic>
    <xdr:clientData/>
  </xdr:twoCellAnchor>
  <xdr:twoCellAnchor editAs="oneCell">
    <xdr:from>
      <xdr:col>11</xdr:col>
      <xdr:colOff>551013</xdr:colOff>
      <xdr:row>2</xdr:row>
      <xdr:rowOff>56030</xdr:rowOff>
    </xdr:from>
    <xdr:to>
      <xdr:col>20</xdr:col>
      <xdr:colOff>272142</xdr:colOff>
      <xdr:row>34</xdr:row>
      <xdr:rowOff>128492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1C5B1667-9574-63F4-082C-6B8BF38EC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049549" y="423423"/>
          <a:ext cx="5994022" cy="6100426"/>
        </a:xfrm>
        <a:prstGeom prst="rect">
          <a:avLst/>
        </a:prstGeom>
      </xdr:spPr>
    </xdr:pic>
    <xdr:clientData/>
  </xdr:twoCellAnchor>
  <xdr:twoCellAnchor editAs="oneCell">
    <xdr:from>
      <xdr:col>11</xdr:col>
      <xdr:colOff>531003</xdr:colOff>
      <xdr:row>35</xdr:row>
      <xdr:rowOff>1</xdr:rowOff>
    </xdr:from>
    <xdr:to>
      <xdr:col>18</xdr:col>
      <xdr:colOff>372201</xdr:colOff>
      <xdr:row>55</xdr:row>
      <xdr:rowOff>50458</xdr:rowOff>
    </xdr:to>
    <xdr:pic>
      <xdr:nvPicPr>
        <xdr:cNvPr id="5" name="Obrázek 4">
          <a:extLst>
            <a:ext uri="{FF2B5EF4-FFF2-40B4-BE49-F238E27FC236}">
              <a16:creationId xmlns:a16="http://schemas.microsoft.com/office/drawing/2014/main" id="{E3AE5F81-B001-74E4-1FDE-E0E8FACDD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29539" y="6572251"/>
          <a:ext cx="4889448" cy="3588314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1238250</xdr:colOff>
      <xdr:row>32</xdr:row>
      <xdr:rowOff>40822</xdr:rowOff>
    </xdr:from>
    <xdr:to>
      <xdr:col>6</xdr:col>
      <xdr:colOff>513913</xdr:colOff>
      <xdr:row>62</xdr:row>
      <xdr:rowOff>83740</xdr:rowOff>
    </xdr:to>
    <xdr:pic>
      <xdr:nvPicPr>
        <xdr:cNvPr id="7" name="Obrázek 6">
          <a:extLst>
            <a:ext uri="{FF2B5EF4-FFF2-40B4-BE49-F238E27FC236}">
              <a16:creationId xmlns:a16="http://schemas.microsoft.com/office/drawing/2014/main" id="{E49476FF-56A0-273C-96AD-53E88C70C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0" y="6082393"/>
          <a:ext cx="7521592" cy="5349704"/>
        </a:xfrm>
        <a:prstGeom prst="rect">
          <a:avLst/>
        </a:prstGeom>
      </xdr:spPr>
    </xdr:pic>
    <xdr:clientData/>
  </xdr:twoCellAnchor>
  <xdr:twoCellAnchor editAs="oneCell">
    <xdr:from>
      <xdr:col>20</xdr:col>
      <xdr:colOff>489857</xdr:colOff>
      <xdr:row>3</xdr:row>
      <xdr:rowOff>40821</xdr:rowOff>
    </xdr:from>
    <xdr:to>
      <xdr:col>26</xdr:col>
      <xdr:colOff>31848</xdr:colOff>
      <xdr:row>21</xdr:row>
      <xdr:rowOff>41102</xdr:rowOff>
    </xdr:to>
    <xdr:pic>
      <xdr:nvPicPr>
        <xdr:cNvPr id="10" name="Obrázek 9">
          <a:extLst>
            <a:ext uri="{FF2B5EF4-FFF2-40B4-BE49-F238E27FC236}">
              <a16:creationId xmlns:a16="http://schemas.microsoft.com/office/drawing/2014/main" id="{D11F4997-90AD-C7E5-7CD7-1328195D2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261286" y="585107"/>
          <a:ext cx="3215919" cy="32387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zoomScale="56" zoomScaleNormal="56" workbookViewId="0">
      <selection activeCell="K35" sqref="K35"/>
    </sheetView>
  </sheetViews>
  <sheetFormatPr defaultRowHeight="14.4" x14ac:dyDescent="0.3"/>
  <cols>
    <col min="1" max="8" width="20" customWidth="1"/>
    <col min="9" max="9" width="24.88671875" customWidth="1"/>
    <col min="10" max="10" width="20.88671875" customWidth="1"/>
    <col min="11" max="12" width="20" customWidth="1"/>
  </cols>
  <sheetData>
    <row r="1" spans="1:12" ht="15" thickBot="1" x14ac:dyDescent="0.35">
      <c r="A1" s="11" t="s">
        <v>0</v>
      </c>
      <c r="B1" s="12" t="s">
        <v>1</v>
      </c>
      <c r="C1" s="13" t="s">
        <v>2</v>
      </c>
      <c r="D1" s="12" t="s">
        <v>3</v>
      </c>
      <c r="E1" s="13" t="s">
        <v>4</v>
      </c>
      <c r="F1" s="12" t="s">
        <v>5</v>
      </c>
      <c r="G1" s="13" t="s">
        <v>6</v>
      </c>
      <c r="H1" s="12" t="s">
        <v>7</v>
      </c>
      <c r="I1" s="13" t="s">
        <v>8</v>
      </c>
      <c r="J1" s="12" t="s">
        <v>9</v>
      </c>
      <c r="K1" s="14" t="s">
        <v>92</v>
      </c>
    </row>
    <row r="2" spans="1:12" x14ac:dyDescent="0.3">
      <c r="A2" s="4" t="s">
        <v>10</v>
      </c>
      <c r="B2" s="5">
        <v>1</v>
      </c>
      <c r="C2" s="5" t="s">
        <v>11</v>
      </c>
      <c r="D2" s="5" t="s">
        <v>12</v>
      </c>
      <c r="E2" s="5" t="s">
        <v>13</v>
      </c>
      <c r="F2" s="5" t="s">
        <v>11</v>
      </c>
      <c r="G2" s="5"/>
      <c r="H2" s="5"/>
      <c r="I2" s="5" t="s">
        <v>105</v>
      </c>
      <c r="J2" s="5" t="s">
        <v>15</v>
      </c>
      <c r="K2" s="6">
        <v>0.49</v>
      </c>
    </row>
    <row r="3" spans="1:12" x14ac:dyDescent="0.3">
      <c r="A3" s="2" t="s">
        <v>17</v>
      </c>
      <c r="B3" s="1">
        <v>1</v>
      </c>
      <c r="C3" s="1" t="s">
        <v>18</v>
      </c>
      <c r="D3" s="1" t="s">
        <v>19</v>
      </c>
      <c r="E3" s="1" t="s">
        <v>13</v>
      </c>
      <c r="F3" s="1" t="s">
        <v>18</v>
      </c>
      <c r="G3" s="1"/>
      <c r="H3" s="1"/>
      <c r="I3" s="1" t="s">
        <v>104</v>
      </c>
      <c r="J3" s="1" t="s">
        <v>15</v>
      </c>
      <c r="K3" s="8">
        <v>0.43</v>
      </c>
    </row>
    <row r="4" spans="1:12" x14ac:dyDescent="0.3">
      <c r="A4" s="2" t="s">
        <v>20</v>
      </c>
      <c r="B4" s="1">
        <v>2</v>
      </c>
      <c r="C4" s="1" t="s">
        <v>21</v>
      </c>
      <c r="D4" s="1" t="s">
        <v>22</v>
      </c>
      <c r="E4" s="1" t="s">
        <v>13</v>
      </c>
      <c r="F4" s="1" t="s">
        <v>21</v>
      </c>
      <c r="G4" s="1" t="s">
        <v>23</v>
      </c>
      <c r="H4" s="1" t="s">
        <v>14</v>
      </c>
      <c r="I4" s="1" t="s">
        <v>24</v>
      </c>
      <c r="J4" s="1" t="s">
        <v>15</v>
      </c>
      <c r="K4" s="8">
        <v>0.73</v>
      </c>
    </row>
    <row r="5" spans="1:12" x14ac:dyDescent="0.3">
      <c r="A5" s="2" t="s">
        <v>25</v>
      </c>
      <c r="B5" s="1">
        <v>1</v>
      </c>
      <c r="C5" s="1" t="s">
        <v>26</v>
      </c>
      <c r="D5" s="1" t="s">
        <v>27</v>
      </c>
      <c r="E5" s="1" t="s">
        <v>28</v>
      </c>
      <c r="F5" s="1" t="s">
        <v>16</v>
      </c>
      <c r="G5" s="1" t="s">
        <v>26</v>
      </c>
      <c r="H5" s="1" t="s">
        <v>29</v>
      </c>
      <c r="I5" s="1" t="s">
        <v>30</v>
      </c>
      <c r="J5" s="1" t="s">
        <v>15</v>
      </c>
      <c r="K5" s="8">
        <v>0.83</v>
      </c>
      <c r="L5" t="s">
        <v>16</v>
      </c>
    </row>
    <row r="6" spans="1:12" x14ac:dyDescent="0.3">
      <c r="A6" s="2" t="s">
        <v>31</v>
      </c>
      <c r="B6" s="1">
        <v>1</v>
      </c>
      <c r="C6" s="1" t="s">
        <v>32</v>
      </c>
      <c r="D6" s="1" t="s">
        <v>33</v>
      </c>
      <c r="E6" s="1" t="s">
        <v>34</v>
      </c>
      <c r="F6" s="1" t="s">
        <v>16</v>
      </c>
      <c r="G6" s="1" t="s">
        <v>32</v>
      </c>
      <c r="H6" s="1" t="s">
        <v>35</v>
      </c>
      <c r="I6" s="1" t="s">
        <v>36</v>
      </c>
      <c r="J6" s="1" t="s">
        <v>15</v>
      </c>
      <c r="K6" s="8">
        <v>0.65</v>
      </c>
      <c r="L6" t="s">
        <v>16</v>
      </c>
    </row>
    <row r="7" spans="1:12" x14ac:dyDescent="0.3">
      <c r="A7" s="2" t="s">
        <v>37</v>
      </c>
      <c r="B7" s="1">
        <v>1</v>
      </c>
      <c r="C7" s="1" t="s">
        <v>38</v>
      </c>
      <c r="D7" s="1" t="s">
        <v>39</v>
      </c>
      <c r="E7" s="1" t="s">
        <v>40</v>
      </c>
      <c r="F7" s="1" t="s">
        <v>16</v>
      </c>
      <c r="G7" s="1" t="s">
        <v>38</v>
      </c>
      <c r="H7" s="1" t="s">
        <v>41</v>
      </c>
      <c r="I7" s="1" t="s">
        <v>42</v>
      </c>
      <c r="J7" s="1" t="s">
        <v>15</v>
      </c>
      <c r="K7" s="8">
        <v>0.61</v>
      </c>
      <c r="L7" t="s">
        <v>16</v>
      </c>
    </row>
    <row r="8" spans="1:12" x14ac:dyDescent="0.3">
      <c r="A8" s="2" t="s">
        <v>43</v>
      </c>
      <c r="B8" s="1">
        <v>1</v>
      </c>
      <c r="C8" s="1" t="s">
        <v>44</v>
      </c>
      <c r="D8" s="1" t="s">
        <v>45</v>
      </c>
      <c r="E8" s="1" t="s">
        <v>46</v>
      </c>
      <c r="F8" s="1" t="s">
        <v>16</v>
      </c>
      <c r="G8" s="1" t="s">
        <v>44</v>
      </c>
      <c r="H8" s="1" t="s">
        <v>47</v>
      </c>
      <c r="I8" s="1" t="s">
        <v>48</v>
      </c>
      <c r="J8" s="1" t="s">
        <v>15</v>
      </c>
      <c r="K8" s="8">
        <v>0.26</v>
      </c>
      <c r="L8" t="s">
        <v>16</v>
      </c>
    </row>
    <row r="9" spans="1:12" x14ac:dyDescent="0.3">
      <c r="A9" s="2" t="s">
        <v>49</v>
      </c>
      <c r="B9" s="1">
        <v>2</v>
      </c>
      <c r="C9" s="1" t="s">
        <v>50</v>
      </c>
      <c r="D9" s="1" t="s">
        <v>51</v>
      </c>
      <c r="E9" s="1" t="s">
        <v>52</v>
      </c>
      <c r="F9" s="1" t="s">
        <v>16</v>
      </c>
      <c r="G9" s="1" t="s">
        <v>50</v>
      </c>
      <c r="H9" s="1" t="s">
        <v>53</v>
      </c>
      <c r="I9" s="1" t="s">
        <v>54</v>
      </c>
      <c r="J9" s="1" t="s">
        <v>15</v>
      </c>
      <c r="K9" s="8">
        <v>0.62</v>
      </c>
      <c r="L9" t="s">
        <v>16</v>
      </c>
    </row>
    <row r="10" spans="1:12" x14ac:dyDescent="0.3">
      <c r="A10" s="2" t="s">
        <v>55</v>
      </c>
      <c r="B10" s="1">
        <v>1</v>
      </c>
      <c r="C10" s="1" t="s">
        <v>56</v>
      </c>
      <c r="D10" s="1" t="s">
        <v>57</v>
      </c>
      <c r="E10" s="1" t="s">
        <v>52</v>
      </c>
      <c r="F10" s="1" t="s">
        <v>16</v>
      </c>
      <c r="G10" s="1" t="s">
        <v>56</v>
      </c>
      <c r="H10" s="1" t="s">
        <v>58</v>
      </c>
      <c r="I10" s="1" t="s">
        <v>59</v>
      </c>
      <c r="J10" s="1" t="s">
        <v>15</v>
      </c>
      <c r="K10" s="8">
        <v>0.44</v>
      </c>
      <c r="L10" t="s">
        <v>16</v>
      </c>
    </row>
    <row r="11" spans="1:12" x14ac:dyDescent="0.3">
      <c r="A11" s="2" t="s">
        <v>60</v>
      </c>
      <c r="B11" s="1">
        <v>2</v>
      </c>
      <c r="C11" s="1" t="s">
        <v>61</v>
      </c>
      <c r="D11" s="1" t="s">
        <v>62</v>
      </c>
      <c r="E11" s="1" t="s">
        <v>63</v>
      </c>
      <c r="F11" s="1" t="s">
        <v>61</v>
      </c>
      <c r="G11" s="1" t="s">
        <v>64</v>
      </c>
      <c r="H11" s="1" t="s">
        <v>65</v>
      </c>
      <c r="I11" s="1" t="s">
        <v>66</v>
      </c>
      <c r="J11" s="1" t="s">
        <v>15</v>
      </c>
      <c r="K11" s="8">
        <v>0.2</v>
      </c>
      <c r="L11" t="s">
        <v>16</v>
      </c>
    </row>
    <row r="12" spans="1:12" x14ac:dyDescent="0.3">
      <c r="A12" s="2" t="s">
        <v>67</v>
      </c>
      <c r="B12" s="1">
        <v>8</v>
      </c>
      <c r="C12" s="1" t="s">
        <v>68</v>
      </c>
      <c r="D12" s="1" t="s">
        <v>69</v>
      </c>
      <c r="E12" s="1" t="s">
        <v>63</v>
      </c>
      <c r="F12" s="1" t="s">
        <v>68</v>
      </c>
      <c r="G12" s="1" t="s">
        <v>70</v>
      </c>
      <c r="H12" s="1" t="s">
        <v>71</v>
      </c>
      <c r="I12" s="1" t="s">
        <v>72</v>
      </c>
      <c r="J12" s="1" t="s">
        <v>15</v>
      </c>
      <c r="K12" s="8">
        <v>0.13</v>
      </c>
      <c r="L12" t="s">
        <v>16</v>
      </c>
    </row>
    <row r="13" spans="1:12" x14ac:dyDescent="0.3">
      <c r="A13" s="2" t="s">
        <v>73</v>
      </c>
      <c r="B13" s="1">
        <v>1</v>
      </c>
      <c r="C13" s="1" t="s">
        <v>74</v>
      </c>
      <c r="D13" s="1" t="s">
        <v>75</v>
      </c>
      <c r="E13" s="1" t="s">
        <v>63</v>
      </c>
      <c r="F13" s="1" t="s">
        <v>74</v>
      </c>
      <c r="G13" s="1" t="s">
        <v>76</v>
      </c>
      <c r="H13" s="1" t="s">
        <v>71</v>
      </c>
      <c r="I13" s="1" t="s">
        <v>77</v>
      </c>
      <c r="J13" s="1" t="s">
        <v>15</v>
      </c>
      <c r="K13" s="8">
        <v>0.18</v>
      </c>
      <c r="L13" t="s">
        <v>16</v>
      </c>
    </row>
    <row r="14" spans="1:12" x14ac:dyDescent="0.3">
      <c r="A14" s="2" t="s">
        <v>78</v>
      </c>
      <c r="B14" s="1">
        <v>1</v>
      </c>
      <c r="C14" s="1" t="s">
        <v>79</v>
      </c>
      <c r="D14" s="1" t="s">
        <v>80</v>
      </c>
      <c r="E14" s="1" t="s">
        <v>81</v>
      </c>
      <c r="F14" s="1" t="s">
        <v>16</v>
      </c>
      <c r="G14" s="1" t="s">
        <v>79</v>
      </c>
      <c r="H14" s="1" t="s">
        <v>82</v>
      </c>
      <c r="I14" s="1" t="s">
        <v>83</v>
      </c>
      <c r="J14" s="1" t="s">
        <v>15</v>
      </c>
      <c r="K14" s="8">
        <v>0.46</v>
      </c>
      <c r="L14" t="s">
        <v>16</v>
      </c>
    </row>
    <row r="15" spans="1:12" x14ac:dyDescent="0.3">
      <c r="A15" s="2" t="s">
        <v>84</v>
      </c>
      <c r="B15" s="1">
        <v>1</v>
      </c>
      <c r="C15" s="1" t="s">
        <v>85</v>
      </c>
      <c r="D15" s="1" t="s">
        <v>86</v>
      </c>
      <c r="E15" s="1" t="s">
        <v>87</v>
      </c>
      <c r="F15" s="1" t="s">
        <v>16</v>
      </c>
      <c r="G15" s="1" t="s">
        <v>85</v>
      </c>
      <c r="H15" s="1" t="s">
        <v>88</v>
      </c>
      <c r="I15" s="1" t="s">
        <v>89</v>
      </c>
      <c r="J15" s="1" t="s">
        <v>15</v>
      </c>
      <c r="K15" s="8">
        <v>0.54</v>
      </c>
      <c r="L15" t="s">
        <v>16</v>
      </c>
    </row>
    <row r="16" spans="1:12" x14ac:dyDescent="0.3">
      <c r="A16" s="2">
        <v>15</v>
      </c>
      <c r="B16" s="1">
        <v>1</v>
      </c>
      <c r="C16" s="1" t="s">
        <v>90</v>
      </c>
      <c r="D16" s="3"/>
      <c r="E16" s="3"/>
      <c r="F16" s="3"/>
      <c r="G16" s="3"/>
      <c r="H16" s="1" t="s">
        <v>91</v>
      </c>
      <c r="I16" s="3"/>
      <c r="J16" s="3"/>
      <c r="K16" s="8">
        <v>4.24</v>
      </c>
    </row>
    <row r="17" spans="1:18" x14ac:dyDescent="0.3">
      <c r="A17" s="2">
        <v>16</v>
      </c>
      <c r="B17" s="1"/>
      <c r="C17" s="1" t="s">
        <v>93</v>
      </c>
      <c r="D17" s="1"/>
      <c r="E17" s="1"/>
      <c r="F17" s="1"/>
      <c r="G17" s="1"/>
      <c r="H17" s="1" t="s">
        <v>15</v>
      </c>
      <c r="I17" s="1"/>
      <c r="J17" s="1"/>
      <c r="K17" s="8">
        <v>10.35</v>
      </c>
    </row>
    <row r="18" spans="1:18" ht="15" thickBot="1" x14ac:dyDescent="0.35">
      <c r="A18" s="10"/>
      <c r="B18" s="7"/>
      <c r="C18" s="7" t="s">
        <v>94</v>
      </c>
      <c r="D18" s="7"/>
      <c r="E18" s="7"/>
      <c r="F18" s="7"/>
      <c r="G18" s="7"/>
      <c r="H18" s="7"/>
      <c r="I18" s="7"/>
      <c r="J18" s="7"/>
      <c r="K18" s="9">
        <v>3</v>
      </c>
    </row>
    <row r="19" spans="1:18" ht="15" thickBot="1" x14ac:dyDescent="0.35">
      <c r="K19" s="16">
        <f>SUM(K2:K18)</f>
        <v>24.16</v>
      </c>
    </row>
    <row r="20" spans="1:18" ht="15" thickBot="1" x14ac:dyDescent="0.35">
      <c r="J20" s="16" t="s">
        <v>95</v>
      </c>
      <c r="K20" s="16" t="s">
        <v>106</v>
      </c>
    </row>
    <row r="21" spans="1:18" ht="15" thickBot="1" x14ac:dyDescent="0.35">
      <c r="K21" s="25" t="s">
        <v>103</v>
      </c>
    </row>
    <row r="22" spans="1:18" ht="24" thickBot="1" x14ac:dyDescent="0.5">
      <c r="J22" s="15" t="s">
        <v>96</v>
      </c>
      <c r="K22" s="26" t="s">
        <v>107</v>
      </c>
    </row>
    <row r="24" spans="1:18" ht="15" thickBot="1" x14ac:dyDescent="0.35"/>
    <row r="25" spans="1:18" ht="15" thickBot="1" x14ac:dyDescent="0.35">
      <c r="F25" s="17" t="s">
        <v>97</v>
      </c>
      <c r="G25" s="18"/>
      <c r="H25" s="18"/>
      <c r="I25" s="19"/>
    </row>
    <row r="26" spans="1:18" ht="15" thickBot="1" x14ac:dyDescent="0.35">
      <c r="L26" s="20"/>
      <c r="M26" s="20"/>
      <c r="N26" s="20"/>
      <c r="O26" s="20"/>
      <c r="P26" s="20"/>
      <c r="Q26" s="20"/>
      <c r="R26" s="20"/>
    </row>
    <row r="27" spans="1:18" ht="15.6" thickTop="1" thickBot="1" x14ac:dyDescent="0.35">
      <c r="F27" s="22" t="s">
        <v>98</v>
      </c>
      <c r="G27" s="22"/>
      <c r="H27" s="22"/>
      <c r="I27" s="22"/>
      <c r="J27" s="22"/>
      <c r="K27" s="23"/>
      <c r="L27" s="21"/>
      <c r="M27" s="21"/>
      <c r="N27" s="21"/>
      <c r="O27" s="21"/>
      <c r="P27" s="21"/>
      <c r="Q27" s="21"/>
      <c r="R27" s="21"/>
    </row>
    <row r="28" spans="1:18" ht="15.6" thickTop="1" thickBot="1" x14ac:dyDescent="0.35">
      <c r="F28" s="22" t="s">
        <v>100</v>
      </c>
      <c r="G28" s="22"/>
      <c r="H28" s="22"/>
      <c r="I28" s="22"/>
      <c r="J28" s="22"/>
      <c r="K28" s="23"/>
      <c r="L28" s="21"/>
      <c r="M28" s="21"/>
      <c r="N28" s="21"/>
      <c r="O28" s="21"/>
      <c r="P28" s="21"/>
      <c r="Q28" s="21"/>
      <c r="R28" s="21"/>
    </row>
    <row r="29" spans="1:18" ht="15.6" thickTop="1" thickBot="1" x14ac:dyDescent="0.35">
      <c r="F29" s="24" t="s">
        <v>101</v>
      </c>
      <c r="G29" s="22"/>
      <c r="H29" s="22"/>
      <c r="I29" s="22"/>
      <c r="J29" s="22"/>
      <c r="K29" s="23"/>
      <c r="L29" s="21"/>
      <c r="M29" s="21"/>
      <c r="N29" s="21"/>
      <c r="O29" s="21"/>
      <c r="P29" s="21"/>
      <c r="Q29" s="21"/>
      <c r="R29" s="21"/>
    </row>
    <row r="30" spans="1:18" ht="15.6" thickTop="1" thickBot="1" x14ac:dyDescent="0.35">
      <c r="F30" s="22" t="s">
        <v>102</v>
      </c>
      <c r="G30" s="22"/>
      <c r="H30" s="22"/>
      <c r="I30" s="22"/>
      <c r="J30" s="22"/>
      <c r="K30" s="23"/>
      <c r="L30" s="21"/>
      <c r="M30" s="21"/>
      <c r="N30" s="21"/>
      <c r="O30" s="21"/>
      <c r="P30" s="21"/>
      <c r="Q30" s="21"/>
      <c r="R30" s="21"/>
    </row>
    <row r="31" spans="1:18" ht="15.6" thickTop="1" thickBot="1" x14ac:dyDescent="0.35">
      <c r="F31" s="22" t="s">
        <v>99</v>
      </c>
      <c r="G31" s="24"/>
      <c r="H31" s="24"/>
      <c r="I31" s="24"/>
      <c r="J31" s="24"/>
      <c r="K31" s="24"/>
      <c r="L31" s="20"/>
      <c r="M31" s="20"/>
      <c r="N31" s="20"/>
      <c r="O31" s="20"/>
      <c r="P31" s="20"/>
      <c r="Q31" s="20"/>
      <c r="R31" s="20"/>
    </row>
    <row r="32" spans="1:18" ht="15" thickTop="1" x14ac:dyDescent="0.3">
      <c r="L32" s="20"/>
      <c r="M32" s="20"/>
      <c r="N32" s="20"/>
      <c r="O32" s="20"/>
      <c r="P32" s="20"/>
      <c r="Q32" s="20"/>
      <c r="R32" s="20"/>
    </row>
  </sheetData>
  <printOptions gridLines="1"/>
  <pageMargins left="0.7" right="0.7" top="0.75" bottom="0.75" header="0.3" footer="0.3"/>
  <pageSetup orientation="portrait" horizontalDpi="4294967295" verticalDpi="429496729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8BC7CE9D9C70E4F8FDB04BF0986DA77" ma:contentTypeVersion="16" ma:contentTypeDescription="Vytvoří nový dokument" ma:contentTypeScope="" ma:versionID="d7606c7487e563e84f4ed2443b8258b3">
  <xsd:schema xmlns:xsd="http://www.w3.org/2001/XMLSchema" xmlns:xs="http://www.w3.org/2001/XMLSchema" xmlns:p="http://schemas.microsoft.com/office/2006/metadata/properties" xmlns:ns3="730205c4-d674-48b7-8f49-76c85aa21931" xmlns:ns4="db4f4ad5-51b6-4f58-98c7-b16f15b61691" targetNamespace="http://schemas.microsoft.com/office/2006/metadata/properties" ma:root="true" ma:fieldsID="be215def584a33d6f5eb74158329643d" ns3:_="" ns4:_="">
    <xsd:import namespace="730205c4-d674-48b7-8f49-76c85aa21931"/>
    <xsd:import namespace="db4f4ad5-51b6-4f58-98c7-b16f15b6169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0205c4-d674-48b7-8f49-76c85aa219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odnota hash upozornění na sdílení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f4ad5-51b6-4f58-98c7-b16f15b61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b4f4ad5-51b6-4f58-98c7-b16f15b61691" xsi:nil="true"/>
  </documentManagement>
</p:properties>
</file>

<file path=customXml/itemProps1.xml><?xml version="1.0" encoding="utf-8"?>
<ds:datastoreItem xmlns:ds="http://schemas.openxmlformats.org/officeDocument/2006/customXml" ds:itemID="{945F3165-3BE6-48D3-BFE0-85323B7C01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0205c4-d674-48b7-8f49-76c85aa21931"/>
    <ds:schemaRef ds:uri="db4f4ad5-51b6-4f58-98c7-b16f15b616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EBDD87-FBAE-45C7-B28E-72B82FC98C0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5D1CDC-EFEC-4BCB-831E-D2A6701325EC}">
  <ds:schemaRefs>
    <ds:schemaRef ds:uri="http://purl.org/dc/terms/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730205c4-d674-48b7-8f49-76c85aa21931"/>
    <ds:schemaRef ds:uri="db4f4ad5-51b6-4f58-98c7-b16f15b61691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BOM_sd card adapter kicad_sd ca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2026-05-30T16:48:44Z</dcterms:created>
  <dcterms:modified xsi:type="dcterms:W3CDTF">2026-06-23T16:36:57Z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0x01010068BC7CE9D9C70E4F8FDB04BF0986DA77</vt:lpwstr>
  </property>
</Properties>
</file>